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lbam\OneDrive\Escritorio\"/>
    </mc:Choice>
  </mc:AlternateContent>
  <xr:revisionPtr revIDLastSave="0" documentId="13_ncr:1_{464CDF50-F65A-4D38-9C2A-7782868554AA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Inputs" sheetId="1" r:id="rId1"/>
    <sheet name="Cash Flow" sheetId="2" r:id="rId2"/>
    <sheet name="Dashbora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2" l="1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4" i="2"/>
  <c r="G3" i="2"/>
  <c r="D4" i="2"/>
  <c r="E4" i="2" s="1"/>
  <c r="C5" i="2"/>
  <c r="C6" i="2" s="1"/>
  <c r="C4" i="2"/>
  <c r="C7" i="2" l="1"/>
  <c r="D5" i="2"/>
  <c r="G4" i="2"/>
  <c r="H3" i="2"/>
  <c r="E5" i="2" l="1"/>
  <c r="G5" i="2" s="1"/>
  <c r="D6" i="2"/>
  <c r="H4" i="2"/>
  <c r="H5" i="2" s="1"/>
  <c r="C8" i="2"/>
  <c r="D7" i="2" l="1"/>
  <c r="E6" i="2"/>
  <c r="G6" i="2" s="1"/>
  <c r="C9" i="2"/>
  <c r="C10" i="2" l="1"/>
  <c r="D8" i="2"/>
  <c r="E7" i="2"/>
  <c r="G7" i="2" s="1"/>
  <c r="H6" i="2"/>
  <c r="H7" i="2" l="1"/>
  <c r="D9" i="2"/>
  <c r="E8" i="2"/>
  <c r="G8" i="2" s="1"/>
  <c r="C8" i="3"/>
  <c r="C11" i="2"/>
  <c r="C12" i="2" l="1"/>
  <c r="D10" i="2"/>
  <c r="E9" i="2"/>
  <c r="G9" i="2" s="1"/>
  <c r="H8" i="2"/>
  <c r="H9" i="2" l="1"/>
  <c r="E8" i="3"/>
  <c r="D11" i="2"/>
  <c r="E10" i="2"/>
  <c r="G10" i="2" s="1"/>
  <c r="C13" i="2"/>
  <c r="C14" i="2" l="1"/>
  <c r="D12" i="2"/>
  <c r="E11" i="2"/>
  <c r="G11" i="2" s="1"/>
  <c r="H10" i="2"/>
  <c r="H11" i="2" l="1"/>
  <c r="C15" i="2"/>
  <c r="D13" i="2"/>
  <c r="E12" i="2"/>
  <c r="G12" i="2" s="1"/>
  <c r="D14" i="2" l="1"/>
  <c r="E13" i="2"/>
  <c r="G13" i="2" s="1"/>
  <c r="C7" i="3" s="1"/>
  <c r="C16" i="2"/>
  <c r="H12" i="2"/>
  <c r="C17" i="2" l="1"/>
  <c r="H13" i="2"/>
  <c r="D15" i="2"/>
  <c r="E14" i="2"/>
  <c r="G14" i="2" s="1"/>
  <c r="D16" i="2" l="1"/>
  <c r="E15" i="2"/>
  <c r="G15" i="2" s="1"/>
  <c r="H14" i="2"/>
  <c r="H15" i="2" s="1"/>
  <c r="E7" i="3"/>
  <c r="C18" i="2"/>
  <c r="C19" i="2" l="1"/>
  <c r="D17" i="2"/>
  <c r="E16" i="2"/>
  <c r="G16" i="2" s="1"/>
  <c r="H16" i="2" s="1"/>
  <c r="D18" i="2" l="1"/>
  <c r="E17" i="2"/>
  <c r="G17" i="2" s="1"/>
  <c r="H17" i="2" s="1"/>
  <c r="C20" i="2"/>
  <c r="H18" i="2" l="1"/>
  <c r="C21" i="2"/>
  <c r="D19" i="2"/>
  <c r="E18" i="2"/>
  <c r="G18" i="2" s="1"/>
  <c r="C6" i="3" s="1"/>
  <c r="D20" i="2" l="1"/>
  <c r="E19" i="2"/>
  <c r="G19" i="2" s="1"/>
  <c r="C22" i="2"/>
  <c r="H19" i="2"/>
  <c r="E6" i="3"/>
  <c r="C23" i="2" l="1"/>
  <c r="D21" i="2"/>
  <c r="E20" i="2"/>
  <c r="G20" i="2" s="1"/>
  <c r="H20" i="2" s="1"/>
  <c r="D22" i="2" l="1"/>
  <c r="E21" i="2"/>
  <c r="G21" i="2" s="1"/>
  <c r="H21" i="2" s="1"/>
  <c r="C24" i="2"/>
  <c r="C25" i="2" l="1"/>
  <c r="D23" i="2"/>
  <c r="E22" i="2"/>
  <c r="G22" i="2" s="1"/>
  <c r="H22" i="2" s="1"/>
  <c r="H23" i="2" l="1"/>
  <c r="D24" i="2"/>
  <c r="E23" i="2"/>
  <c r="G23" i="2" s="1"/>
  <c r="C5" i="3" s="1"/>
  <c r="C26" i="2"/>
  <c r="C27" i="2" l="1"/>
  <c r="D25" i="2"/>
  <c r="E24" i="2"/>
  <c r="G24" i="2" s="1"/>
  <c r="H24" i="2"/>
  <c r="E5" i="3"/>
  <c r="D26" i="2" l="1"/>
  <c r="E25" i="2"/>
  <c r="G25" i="2" s="1"/>
  <c r="H25" i="2" s="1"/>
  <c r="C28" i="2"/>
  <c r="D27" i="2" l="1"/>
  <c r="E26" i="2"/>
  <c r="G26" i="2" s="1"/>
  <c r="H26" i="2" s="1"/>
  <c r="D28" i="2" l="1"/>
  <c r="E28" i="2" s="1"/>
  <c r="G28" i="2" s="1"/>
  <c r="C4" i="3" s="1"/>
  <c r="E27" i="2"/>
  <c r="G27" i="2" s="1"/>
  <c r="H27" i="2" s="1"/>
  <c r="H28" i="2" s="1"/>
  <c r="E4" i="3" l="1"/>
  <c r="D4" i="3"/>
</calcChain>
</file>

<file path=xl/sharedStrings.xml><?xml version="1.0" encoding="utf-8"?>
<sst xmlns="http://schemas.openxmlformats.org/spreadsheetml/2006/main" count="49" uniqueCount="48">
  <si>
    <t>Description</t>
  </si>
  <si>
    <t>Value</t>
  </si>
  <si>
    <t>Unit</t>
  </si>
  <si>
    <t>Abbreviation Meaning</t>
  </si>
  <si>
    <t>Source (Where to find it)</t>
  </si>
  <si>
    <t>Project Capacity</t>
  </si>
  <si>
    <t>kWp</t>
  </si>
  <si>
    <r>
      <t>Kilowatt Peak</t>
    </r>
    <r>
      <rPr>
        <sz val="11"/>
        <color rgb="FF1F1F1F"/>
        <rFont val="Arial"/>
        <family val="2"/>
      </rPr>
      <t>: The maximum power the system generates at standard test conditions.</t>
    </r>
  </si>
  <si>
    <r>
      <t>HelioScope PDF:</t>
    </r>
    <r>
      <rPr>
        <sz val="11"/>
        <color rgb="FF1F1F1F"/>
        <rFont val="Arial"/>
        <family val="2"/>
      </rPr>
      <t xml:space="preserve"> Look for "System Size" or "Nameplate Capacity".</t>
    </r>
  </si>
  <si>
    <t>Specific Yield</t>
  </si>
  <si>
    <t>kWh/kWp</t>
  </si>
  <si>
    <r>
      <t>Kilowatt-hours per kWp</t>
    </r>
    <r>
      <rPr>
        <sz val="11"/>
        <color rgb="FF1F1F1F"/>
        <rFont val="Arial"/>
        <family val="2"/>
      </rPr>
      <t>: How efficient the system is. (Calculation: Annual Production / Project Capacity).</t>
    </r>
  </si>
  <si>
    <r>
      <t>HelioScope PDF:</t>
    </r>
    <r>
      <rPr>
        <sz val="11"/>
        <color rgb="FF1F1F1F"/>
        <rFont val="Arial"/>
        <family val="2"/>
      </rPr>
      <t xml:space="preserve"> Look for "Yield" or calculate it yourself.</t>
    </r>
  </si>
  <si>
    <t>Year 1 Production</t>
  </si>
  <si>
    <t>kWh</t>
  </si>
  <si>
    <r>
      <t>Kilowatt-hours</t>
    </r>
    <r>
      <rPr>
        <sz val="11"/>
        <color rgb="FF1F1F1F"/>
        <rFont val="Arial"/>
        <family val="2"/>
      </rPr>
      <t>: Total energy generated in the first year.</t>
    </r>
  </si>
  <si>
    <r>
      <t>HelioScope PDF:</t>
    </r>
    <r>
      <rPr>
        <sz val="11"/>
        <color rgb="FF1F1F1F"/>
        <rFont val="Arial"/>
        <family val="2"/>
      </rPr>
      <t xml:space="preserve"> Look for "Annual Production".</t>
    </r>
  </si>
  <si>
    <t>CAPEX (Total Cost)</t>
  </si>
  <si>
    <t>COP</t>
  </si>
  <si>
    <r>
      <t>Capital Expenditure</t>
    </r>
    <r>
      <rPr>
        <sz val="11"/>
        <color rgb="FF1F1F1F"/>
        <rFont val="Arial"/>
        <family val="2"/>
      </rPr>
      <t>: The total price to build the project.</t>
    </r>
  </si>
  <si>
    <r>
      <t>Estimation:</t>
    </r>
    <r>
      <rPr>
        <sz val="11"/>
        <color rgb="FF1F1F1F"/>
        <rFont val="Arial"/>
        <family val="2"/>
      </rPr>
      <t xml:space="preserve"> Since this is a portfolio project, assume approx. $3,000,000 COP per Watt installed.</t>
    </r>
  </si>
  <si>
    <t>Current Energy Tariff</t>
  </si>
  <si>
    <t>COP/kWh</t>
  </si>
  <si>
    <r>
      <t>Cost of Energy</t>
    </r>
    <r>
      <rPr>
        <sz val="11"/>
        <color rgb="FF1F1F1F"/>
        <rFont val="Arial"/>
        <family val="2"/>
      </rPr>
      <t>: How much the client currently pays the grid (Enel/EPM) for 1 unit of energy.</t>
    </r>
  </si>
  <si>
    <r>
      <t>Utility Bill:</t>
    </r>
    <r>
      <rPr>
        <sz val="11"/>
        <color rgb="FF1F1F1F"/>
        <rFont val="Arial"/>
        <family val="2"/>
      </rPr>
      <t xml:space="preserve"> Usually found on the client's monthly electricity bill. (Use 800 as a market average).</t>
    </r>
  </si>
  <si>
    <t>Energy Inflation</t>
  </si>
  <si>
    <t>%</t>
  </si>
  <si>
    <r>
      <t>CPI (Consumer Price Index)</t>
    </r>
    <r>
      <rPr>
        <sz val="11"/>
        <color rgb="FF1F1F1F"/>
        <rFont val="Arial"/>
        <family val="2"/>
      </rPr>
      <t>: How much energy prices rise each year.</t>
    </r>
  </si>
  <si>
    <r>
      <t>Internet:</t>
    </r>
    <r>
      <rPr>
        <sz val="11"/>
        <color rgb="FF1F1F1F"/>
        <rFont val="Arial"/>
        <family val="2"/>
      </rPr>
      <t xml:space="preserve"> Google "Colombia energy inflation history" (5-7% is standard).</t>
    </r>
  </si>
  <si>
    <t>System Degradation</t>
  </si>
  <si>
    <r>
      <t>Wear &amp; Tear</t>
    </r>
    <r>
      <rPr>
        <sz val="11"/>
        <color rgb="FF1F1F1F"/>
        <rFont val="Arial"/>
        <family val="2"/>
      </rPr>
      <t>: Solar panels lose efficiency over time.</t>
    </r>
  </si>
  <si>
    <r>
      <t>Datasheet:</t>
    </r>
    <r>
      <rPr>
        <sz val="11"/>
        <color rgb="FF1F1F1F"/>
        <rFont val="Arial"/>
        <family val="2"/>
      </rPr>
      <t xml:space="preserve"> Standard for Tier 1 panels is 0.4% to 0.5% loss per year.</t>
    </r>
  </si>
  <si>
    <t>O&amp;M Cost</t>
  </si>
  <si>
    <t>% of CAPEX</t>
  </si>
  <si>
    <r>
      <t>Operations &amp; Maintenance</t>
    </r>
    <r>
      <rPr>
        <sz val="11"/>
        <color rgb="FF1F1F1F"/>
        <rFont val="Arial"/>
        <family val="2"/>
      </rPr>
      <t>: Cleaning panels, fixing wires, etc.</t>
    </r>
  </si>
  <si>
    <r>
      <t>Industry Standard:</t>
    </r>
    <r>
      <rPr>
        <sz val="11"/>
        <color rgb="FF1F1F1F"/>
        <rFont val="Arial"/>
        <family val="2"/>
      </rPr>
      <t xml:space="preserve"> Usually 1% of the total project cost per year.</t>
    </r>
  </si>
  <si>
    <t>Year</t>
  </si>
  <si>
    <t>Energy Yield (kWh)</t>
  </si>
  <si>
    <t>Tariff Rate (COP/kWh)</t>
  </si>
  <si>
    <t>Operational Savings</t>
  </si>
  <si>
    <t>O&amp;M Expenses (Costs)</t>
  </si>
  <si>
    <t>Net Cash Flow</t>
  </si>
  <si>
    <t>Cumulative Cash Flow</t>
  </si>
  <si>
    <t>KPI</t>
  </si>
  <si>
    <t>Total Lifetime Savings</t>
  </si>
  <si>
    <t>Payback Periods (Years)</t>
  </si>
  <si>
    <t>ROI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</si>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</sst>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4" fillId="0" borderId="1" xfId="0" applyFont="1" applyBorder="1" applyAlignment="1">
      <alignment horizontal="left" vertical="center" wrapText="1" indent="1" readingOrder="1"/>
    </xf>
    <xf numFmtId="0" fontId="5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3" fontId="0" fillId="0" borderId="0" xfId="0" applyNumberFormat="1"/>
    <xf numFmtId="3" fontId="5" fillId="0" borderId="1" xfId="0" applyNumberFormat="1" applyFont="1" applyBorder="1" applyAlignment="1">
      <alignment horizontal="left" vertical="center" wrapText="1" indent="1" readingOrder="1"/>
    </xf>
    <xf numFmtId="10" fontId="5" fillId="0" borderId="1" xfId="0" applyNumberFormat="1" applyFont="1" applyBorder="1" applyAlignment="1">
      <alignment horizontal="left" vertical="center" wrapText="1" indent="1" readingOrder="1"/>
    </xf>
    <xf numFmtId="0" fontId="2" fillId="0" borderId="2" xfId="0" applyFont="1" applyBorder="1"/>
    <xf numFmtId="44" fontId="0" fillId="0" borderId="2" xfId="1" applyFont="1" applyBorder="1"/>
    <xf numFmtId="0" fontId="0" fillId="0" borderId="2" xfId="0" applyBorder="1"/>
    <xf numFmtId="9" fontId="0" fillId="0" borderId="2" xfId="2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44" fontId="0" fillId="0" borderId="2" xfId="1" applyFont="1" applyBorder="1" applyAlignment="1">
      <alignment horizontal="right" vertical="center"/>
    </xf>
    <xf numFmtId="44" fontId="0" fillId="2" borderId="2" xfId="1" applyFont="1" applyFill="1" applyBorder="1" applyAlignment="1">
      <alignment horizontal="right" vertical="center"/>
    </xf>
    <xf numFmtId="0" fontId="2" fillId="0" borderId="7" xfId="0" applyFont="1" applyBorder="1" applyAlignment="1">
      <alignment horizontal="center" vertical="center"/>
    </xf>
    <xf numFmtId="44" fontId="0" fillId="0" borderId="8" xfId="1" applyFont="1" applyBorder="1" applyAlignment="1">
      <alignment horizontal="center" vertical="center"/>
    </xf>
    <xf numFmtId="44" fontId="0" fillId="0" borderId="9" xfId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44" fontId="0" fillId="0" borderId="11" xfId="1" applyFont="1" applyBorder="1" applyAlignment="1">
      <alignment horizontal="right" vertical="center"/>
    </xf>
    <xf numFmtId="0" fontId="2" fillId="2" borderId="10" xfId="0" applyFont="1" applyFill="1" applyBorder="1" applyAlignment="1">
      <alignment horizontal="center" vertical="center"/>
    </xf>
    <xf numFmtId="44" fontId="0" fillId="2" borderId="11" xfId="1" applyFont="1" applyFill="1" applyBorder="1" applyAlignment="1">
      <alignment horizontal="right" vertical="center"/>
    </xf>
    <xf numFmtId="0" fontId="2" fillId="3" borderId="12" xfId="0" applyFont="1" applyFill="1" applyBorder="1" applyAlignment="1">
      <alignment horizontal="center" vertical="center"/>
    </xf>
    <xf numFmtId="44" fontId="0" fillId="3" borderId="13" xfId="1" applyFont="1" applyFill="1" applyBorder="1" applyAlignment="1">
      <alignment horizontal="right" vertical="center"/>
    </xf>
    <xf numFmtId="44" fontId="0" fillId="3" borderId="14" xfId="1" applyFont="1" applyFill="1" applyBorder="1" applyAlignment="1">
      <alignment horizontal="right" vertical="center"/>
    </xf>
    <xf numFmtId="0" fontId="2" fillId="0" borderId="15" xfId="0" applyFont="1" applyBorder="1" applyAlignment="1">
      <alignment horizontal="center" vertical="center"/>
    </xf>
    <xf numFmtId="44" fontId="0" fillId="0" borderId="3" xfId="1" applyFont="1" applyBorder="1" applyAlignment="1">
      <alignment horizontal="right" vertical="center"/>
    </xf>
    <xf numFmtId="44" fontId="0" fillId="0" borderId="16" xfId="1" applyFont="1" applyBorder="1" applyAlignment="1">
      <alignment horizontal="right" vertical="center"/>
    </xf>
    <xf numFmtId="44" fontId="0" fillId="0" borderId="8" xfId="1" applyFont="1" applyBorder="1" applyAlignment="1">
      <alignment horizontal="right" vertical="center"/>
    </xf>
    <xf numFmtId="44" fontId="0" fillId="0" borderId="9" xfId="1" applyFont="1" applyBorder="1" applyAlignment="1">
      <alignment horizontal="right" vertical="center"/>
    </xf>
    <xf numFmtId="0" fontId="2" fillId="0" borderId="17" xfId="0" applyFont="1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4" fontId="0" fillId="0" borderId="2" xfId="0" applyNumberFormat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Project Cumulative Cash Flow (25 Years)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'Cash Flow'!$H$2</c:f>
              <c:strCache>
                <c:ptCount val="1"/>
                <c:pt idx="0">
                  <c:v>Cumulative Cash Flow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'Cash Flow'!$H$3:$H$28</c:f>
              <c:numCache>
                <c:formatCode>_("$"* #,##0.00_);_("$"* \(#,##0.00\);_("$"* "-"??_);_(@_)</c:formatCode>
                <c:ptCount val="26"/>
                <c:pt idx="0">
                  <c:v>-3000000000</c:v>
                </c:pt>
                <c:pt idx="1">
                  <c:v>-2060000000</c:v>
                </c:pt>
                <c:pt idx="2">
                  <c:v>-1076324000</c:v>
                </c:pt>
                <c:pt idx="3">
                  <c:v>-47017499</c:v>
                </c:pt>
                <c:pt idx="4">
                  <c:v>1029961467.91975</c:v>
                </c:pt>
                <c:pt idx="5">
                  <c:v>2156746243.609159</c:v>
                </c:pt>
                <c:pt idx="6">
                  <c:v>3335565638.0106688</c:v>
                </c:pt>
                <c:pt idx="7">
                  <c:v>4568748200.3116465</c:v>
                </c:pt>
                <c:pt idx="8">
                  <c:v>5858726682.2755928</c:v>
                </c:pt>
                <c:pt idx="9">
                  <c:v>7208042701.3074265</c:v>
                </c:pt>
                <c:pt idx="10">
                  <c:v>8619351612.1909351</c:v>
                </c:pt>
                <c:pt idx="11">
                  <c:v>10095427596.836479</c:v>
                </c:pt>
                <c:pt idx="12">
                  <c:v>11639168981.794912</c:v>
                </c:pt>
                <c:pt idx="13">
                  <c:v>13253603793.730236</c:v>
                </c:pt>
                <c:pt idx="14">
                  <c:v>14941895563.499664</c:v>
                </c:pt>
                <c:pt idx="15">
                  <c:v>16707349389.966276</c:v>
                </c:pt>
                <c:pt idx="16">
                  <c:v>18553418275.167267</c:v>
                </c:pt>
                <c:pt idx="17">
                  <c:v>20483709742.981003</c:v>
                </c:pt>
                <c:pt idx="18">
                  <c:v>22501992753.979404</c:v>
                </c:pt>
                <c:pt idx="19">
                  <c:v>24612204929.719986</c:v>
                </c:pt>
                <c:pt idx="20">
                  <c:v>26818460100.324959</c:v>
                </c:pt>
                <c:pt idx="21">
                  <c:v>29125056189.814503</c:v>
                </c:pt>
                <c:pt idx="22">
                  <c:v>31536483454.308704</c:v>
                </c:pt>
                <c:pt idx="23">
                  <c:v>34057433088.889019</c:v>
                </c:pt>
                <c:pt idx="24">
                  <c:v>36692806219.616806</c:v>
                </c:pt>
                <c:pt idx="25">
                  <c:v>39447723297.944656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90-4109-8682-D659636F3B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1666783"/>
        <c:axId val="96595475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'Cash Flow'!$B$2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'Cash Flow'!$B$3:$B$28</c15:sqref>
                        </c15:formulaRef>
                      </c:ext>
                    </c:extLst>
                    <c:numCache>
                      <c:formatCode>General</c:formatCode>
                      <c:ptCount val="26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9F90-4109-8682-D659636F3B58}"/>
                  </c:ext>
                </c:extLst>
              </c15:ser>
            </c15:filteredLineSeries>
          </c:ext>
        </c:extLst>
      </c:lineChart>
      <c:catAx>
        <c:axId val="167166678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5954752"/>
        <c:crosses val="autoZero"/>
        <c:auto val="1"/>
        <c:lblAlgn val="ctr"/>
        <c:lblOffset val="100"/>
        <c:noMultiLvlLbl val="0"/>
      </c:catAx>
      <c:valAx>
        <c:axId val="96595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1666783"/>
        <c:crosses val="autoZero"/>
        <c:crossBetween val="between"/>
        <c:dispUnits>
          <c:builtInUnit val="billions"/>
          <c:dispUnitsLbl>
            <c:layout>
              <c:manualLayout>
                <c:xMode val="edge"/>
                <c:yMode val="edge"/>
                <c:x val="3.0555555555555555E-2"/>
                <c:y val="0.40782407407407406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</xdr:row>
      <xdr:rowOff>0</xdr:rowOff>
    </xdr:from>
    <xdr:to>
      <xdr:col>8</xdr:col>
      <xdr:colOff>603250</xdr:colOff>
      <xdr:row>27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232F218-80BF-4280-A798-A30C6D9F18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0"/>
  <sheetViews>
    <sheetView tabSelected="1" zoomScale="80" zoomScaleNormal="80" workbookViewId="0">
      <selection activeCell="B2" sqref="B2"/>
    </sheetView>
  </sheetViews>
  <sheetFormatPr defaultRowHeight="15"/>
  <cols>
    <col min="2" max="2" width="24.28515625" bestFit="1" customWidth="1"/>
    <col min="3" max="3" width="15" bestFit="1" customWidth="1"/>
    <col min="4" max="4" width="14.140625" bestFit="1" customWidth="1"/>
    <col min="5" max="5" width="43.7109375" bestFit="1" customWidth="1"/>
    <col min="6" max="6" width="44.140625" bestFit="1" customWidth="1"/>
  </cols>
  <sheetData>
    <row r="1" spans="2:6" ht="15.75" thickBot="1"/>
    <row r="2" spans="2:6" ht="15.75" thickBot="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6" ht="44.25" thickBot="1">
      <c r="B3" s="1" t="s">
        <v>5</v>
      </c>
      <c r="C3" s="2">
        <v>792</v>
      </c>
      <c r="D3" s="3" t="s">
        <v>6</v>
      </c>
      <c r="E3" s="1" t="s">
        <v>7</v>
      </c>
      <c r="F3" s="1" t="s">
        <v>8</v>
      </c>
    </row>
    <row r="4" spans="2:6" ht="44.25" thickBot="1">
      <c r="B4" s="1" t="s">
        <v>9</v>
      </c>
      <c r="C4" s="2">
        <v>1540</v>
      </c>
      <c r="D4" s="3" t="s">
        <v>10</v>
      </c>
      <c r="E4" s="1" t="s">
        <v>11</v>
      </c>
      <c r="F4" s="1" t="s">
        <v>12</v>
      </c>
    </row>
    <row r="5" spans="2:6" ht="30" thickBot="1">
      <c r="B5" s="1" t="s">
        <v>13</v>
      </c>
      <c r="C5" s="5">
        <v>1220000</v>
      </c>
      <c r="D5" s="3" t="s">
        <v>14</v>
      </c>
      <c r="E5" s="1" t="s">
        <v>15</v>
      </c>
      <c r="F5" s="1" t="s">
        <v>16</v>
      </c>
    </row>
    <row r="6" spans="2:6" ht="44.25" thickBot="1">
      <c r="B6" s="1" t="s">
        <v>17</v>
      </c>
      <c r="C6" s="5">
        <v>3000000000</v>
      </c>
      <c r="D6" s="3" t="s">
        <v>18</v>
      </c>
      <c r="E6" s="1" t="s">
        <v>19</v>
      </c>
      <c r="F6" s="1" t="s">
        <v>20</v>
      </c>
    </row>
    <row r="7" spans="2:6" ht="44.25" thickBot="1">
      <c r="B7" s="1" t="s">
        <v>21</v>
      </c>
      <c r="C7" s="2">
        <v>800</v>
      </c>
      <c r="D7" s="3" t="s">
        <v>22</v>
      </c>
      <c r="E7" s="1" t="s">
        <v>23</v>
      </c>
      <c r="F7" s="1" t="s">
        <v>24</v>
      </c>
    </row>
    <row r="8" spans="2:6" ht="30" thickBot="1">
      <c r="B8" s="1" t="s">
        <v>25</v>
      </c>
      <c r="C8" s="6">
        <v>0.05</v>
      </c>
      <c r="D8" s="3" t="s">
        <v>26</v>
      </c>
      <c r="E8" s="1" t="s">
        <v>27</v>
      </c>
      <c r="F8" s="1" t="s">
        <v>28</v>
      </c>
    </row>
    <row r="9" spans="2:6" ht="30" thickBot="1">
      <c r="B9" s="1" t="s">
        <v>29</v>
      </c>
      <c r="C9" s="6">
        <v>5.0000000000000001E-3</v>
      </c>
      <c r="D9" s="3" t="s">
        <v>26</v>
      </c>
      <c r="E9" s="1" t="s">
        <v>30</v>
      </c>
      <c r="F9" s="1" t="s">
        <v>31</v>
      </c>
    </row>
    <row r="10" spans="2:6" ht="30" thickBot="1">
      <c r="B10" s="1" t="s">
        <v>32</v>
      </c>
      <c r="C10" s="6">
        <v>1.2E-2</v>
      </c>
      <c r="D10" s="3" t="s">
        <v>33</v>
      </c>
      <c r="E10" s="1" t="s">
        <v>34</v>
      </c>
      <c r="F10" s="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1EADE-4172-4ACB-9AA4-2A5A2FFA1CE6}">
  <dimension ref="B1:H29"/>
  <sheetViews>
    <sheetView zoomScale="90" zoomScaleNormal="90" workbookViewId="0">
      <selection activeCell="B2" sqref="B2"/>
    </sheetView>
  </sheetViews>
  <sheetFormatPr defaultRowHeight="15"/>
  <cols>
    <col min="2" max="2" width="5" customWidth="1"/>
    <col min="3" max="3" width="18.28515625" bestFit="1" customWidth="1"/>
    <col min="4" max="4" width="21" bestFit="1" customWidth="1"/>
    <col min="5" max="5" width="18.85546875" bestFit="1" customWidth="1"/>
    <col min="6" max="6" width="21.5703125" bestFit="1" customWidth="1"/>
    <col min="7" max="7" width="19.7109375" bestFit="1" customWidth="1"/>
    <col min="8" max="8" width="20.7109375" bestFit="1" customWidth="1"/>
  </cols>
  <sheetData>
    <row r="1" spans="2:8" ht="15.75" thickBot="1"/>
    <row r="2" spans="2:8" ht="15.75" thickBot="1">
      <c r="B2" s="11" t="s">
        <v>36</v>
      </c>
      <c r="C2" s="12" t="s">
        <v>37</v>
      </c>
      <c r="D2" s="12" t="s">
        <v>38</v>
      </c>
      <c r="E2" s="12" t="s">
        <v>39</v>
      </c>
      <c r="F2" s="12" t="s">
        <v>40</v>
      </c>
      <c r="G2" s="12" t="s">
        <v>41</v>
      </c>
      <c r="H2" s="13" t="s">
        <v>42</v>
      </c>
    </row>
    <row r="3" spans="2:8">
      <c r="B3" s="16">
        <v>0</v>
      </c>
      <c r="C3" s="17"/>
      <c r="D3" s="17"/>
      <c r="E3" s="17"/>
      <c r="F3" s="17"/>
      <c r="G3" s="17">
        <f>-Inputs!C6</f>
        <v>-3000000000</v>
      </c>
      <c r="H3" s="18">
        <f>G3</f>
        <v>-3000000000</v>
      </c>
    </row>
    <row r="4" spans="2:8">
      <c r="B4" s="19">
        <v>1</v>
      </c>
      <c r="C4" s="14">
        <f>Inputs!C5</f>
        <v>1220000</v>
      </c>
      <c r="D4" s="14">
        <f>Inputs!C7</f>
        <v>800</v>
      </c>
      <c r="E4" s="14">
        <f>C4*D4</f>
        <v>976000000</v>
      </c>
      <c r="F4" s="14">
        <f>Inputs!$C$6*Inputs!$C$10</f>
        <v>36000000</v>
      </c>
      <c r="G4" s="14">
        <f>E4-F4</f>
        <v>940000000</v>
      </c>
      <c r="H4" s="20">
        <f>H3+G4</f>
        <v>-2060000000</v>
      </c>
    </row>
    <row r="5" spans="2:8">
      <c r="B5" s="19">
        <v>2</v>
      </c>
      <c r="C5" s="14">
        <f>C4 *(1-Inputs!$C$9)</f>
        <v>1213900</v>
      </c>
      <c r="D5" s="14">
        <f>D4*(1+Inputs!$C$8)</f>
        <v>840</v>
      </c>
      <c r="E5" s="14">
        <f t="shared" ref="E5:E28" si="0">C5*D5</f>
        <v>1019676000</v>
      </c>
      <c r="F5" s="14">
        <f>Inputs!$C$6*Inputs!$C$10</f>
        <v>36000000</v>
      </c>
      <c r="G5" s="14">
        <f t="shared" ref="G5:G28" si="1">E5-F5</f>
        <v>983676000</v>
      </c>
      <c r="H5" s="20">
        <f t="shared" ref="H5:H28" si="2">H4+G5</f>
        <v>-1076324000</v>
      </c>
    </row>
    <row r="6" spans="2:8">
      <c r="B6" s="19">
        <v>3</v>
      </c>
      <c r="C6" s="14">
        <f>C5 *(1-Inputs!$C$9)</f>
        <v>1207830.5</v>
      </c>
      <c r="D6" s="14">
        <f>D5*(1+Inputs!$C$8)</f>
        <v>882</v>
      </c>
      <c r="E6" s="14">
        <f t="shared" si="0"/>
        <v>1065306501</v>
      </c>
      <c r="F6" s="14">
        <f>Inputs!$C$6*Inputs!$C$10</f>
        <v>36000000</v>
      </c>
      <c r="G6" s="14">
        <f t="shared" si="1"/>
        <v>1029306501</v>
      </c>
      <c r="H6" s="20">
        <f t="shared" si="2"/>
        <v>-47017499</v>
      </c>
    </row>
    <row r="7" spans="2:8">
      <c r="B7" s="21">
        <v>4</v>
      </c>
      <c r="C7" s="15">
        <f>C6 *(1-Inputs!$C$9)</f>
        <v>1201791.3474999999</v>
      </c>
      <c r="D7" s="15">
        <f>D6*(1+Inputs!$C$8)</f>
        <v>926.1</v>
      </c>
      <c r="E7" s="15">
        <f t="shared" si="0"/>
        <v>1112978966.91975</v>
      </c>
      <c r="F7" s="15">
        <f>Inputs!$C$6*Inputs!$C$10</f>
        <v>36000000</v>
      </c>
      <c r="G7" s="15">
        <f t="shared" si="1"/>
        <v>1076978966.91975</v>
      </c>
      <c r="H7" s="22">
        <f t="shared" si="2"/>
        <v>1029961467.91975</v>
      </c>
    </row>
    <row r="8" spans="2:8" ht="15.75" thickBot="1">
      <c r="B8" s="23">
        <v>5</v>
      </c>
      <c r="C8" s="24">
        <f>C7 *(1-Inputs!$C$9)</f>
        <v>1195782.3907625</v>
      </c>
      <c r="D8" s="24">
        <f>D7*(1+Inputs!$C$8)</f>
        <v>972.40500000000009</v>
      </c>
      <c r="E8" s="24">
        <f t="shared" si="0"/>
        <v>1162784775.689409</v>
      </c>
      <c r="F8" s="24">
        <f>Inputs!$C$6*Inputs!$C$10</f>
        <v>36000000</v>
      </c>
      <c r="G8" s="24">
        <f t="shared" si="1"/>
        <v>1126784775.689409</v>
      </c>
      <c r="H8" s="25">
        <f t="shared" si="2"/>
        <v>2156746243.609159</v>
      </c>
    </row>
    <row r="9" spans="2:8">
      <c r="B9" s="16">
        <v>6</v>
      </c>
      <c r="C9" s="29">
        <f>C8 *(1-Inputs!$C$9)</f>
        <v>1189803.4788086875</v>
      </c>
      <c r="D9" s="29">
        <f>D8*(1+Inputs!$C$8)</f>
        <v>1021.0252500000001</v>
      </c>
      <c r="E9" s="29">
        <f t="shared" si="0"/>
        <v>1214819394.40151</v>
      </c>
      <c r="F9" s="29">
        <f>Inputs!$C$6*Inputs!$C$10</f>
        <v>36000000</v>
      </c>
      <c r="G9" s="29">
        <f t="shared" si="1"/>
        <v>1178819394.40151</v>
      </c>
      <c r="H9" s="30">
        <f t="shared" si="2"/>
        <v>3335565638.0106688</v>
      </c>
    </row>
    <row r="10" spans="2:8">
      <c r="B10" s="19">
        <v>7</v>
      </c>
      <c r="C10" s="14">
        <f>C9 *(1-Inputs!$C$9)</f>
        <v>1183854.461414644</v>
      </c>
      <c r="D10" s="14">
        <f>D9*(1+Inputs!$C$8)</f>
        <v>1072.0765125000003</v>
      </c>
      <c r="E10" s="14">
        <f t="shared" si="0"/>
        <v>1269182562.3009777</v>
      </c>
      <c r="F10" s="14">
        <f>Inputs!$C$6*Inputs!$C$10</f>
        <v>36000000</v>
      </c>
      <c r="G10" s="14">
        <f t="shared" si="1"/>
        <v>1233182562.3009777</v>
      </c>
      <c r="H10" s="20">
        <f t="shared" si="2"/>
        <v>4568748200.3116465</v>
      </c>
    </row>
    <row r="11" spans="2:8">
      <c r="B11" s="19">
        <v>8</v>
      </c>
      <c r="C11" s="14">
        <f>C10 *(1-Inputs!$C$9)</f>
        <v>1177935.1891075708</v>
      </c>
      <c r="D11" s="14">
        <f>D10*(1+Inputs!$C$8)</f>
        <v>1125.6803381250004</v>
      </c>
      <c r="E11" s="14">
        <f t="shared" si="0"/>
        <v>1325978481.9639466</v>
      </c>
      <c r="F11" s="14">
        <f>Inputs!$C$6*Inputs!$C$10</f>
        <v>36000000</v>
      </c>
      <c r="G11" s="14">
        <f t="shared" si="1"/>
        <v>1289978481.9639466</v>
      </c>
      <c r="H11" s="20">
        <f t="shared" si="2"/>
        <v>5858726682.2755928</v>
      </c>
    </row>
    <row r="12" spans="2:8">
      <c r="B12" s="19">
        <v>9</v>
      </c>
      <c r="C12" s="14">
        <f>C11 *(1-Inputs!$C$9)</f>
        <v>1172045.5131620329</v>
      </c>
      <c r="D12" s="14">
        <f>D11*(1+Inputs!$C$8)</f>
        <v>1181.9643550312505</v>
      </c>
      <c r="E12" s="14">
        <f t="shared" si="0"/>
        <v>1385316019.0318334</v>
      </c>
      <c r="F12" s="14">
        <f>Inputs!$C$6*Inputs!$C$10</f>
        <v>36000000</v>
      </c>
      <c r="G12" s="14">
        <f t="shared" si="1"/>
        <v>1349316019.0318334</v>
      </c>
      <c r="H12" s="20">
        <f t="shared" si="2"/>
        <v>7208042701.3074265</v>
      </c>
    </row>
    <row r="13" spans="2:8" ht="15.75" thickBot="1">
      <c r="B13" s="23">
        <v>10</v>
      </c>
      <c r="C13" s="24">
        <f>C12 *(1-Inputs!$C$9)</f>
        <v>1166185.2855962228</v>
      </c>
      <c r="D13" s="24">
        <f>D12*(1+Inputs!$C$8)</f>
        <v>1241.062572782813</v>
      </c>
      <c r="E13" s="24">
        <f t="shared" si="0"/>
        <v>1447308910.883508</v>
      </c>
      <c r="F13" s="24">
        <f>Inputs!$C$6*Inputs!$C$10</f>
        <v>36000000</v>
      </c>
      <c r="G13" s="24">
        <f t="shared" si="1"/>
        <v>1411308910.883508</v>
      </c>
      <c r="H13" s="25">
        <f t="shared" si="2"/>
        <v>8619351612.1909351</v>
      </c>
    </row>
    <row r="14" spans="2:8">
      <c r="B14" s="16">
        <v>11</v>
      </c>
      <c r="C14" s="29">
        <f>C13 *(1-Inputs!$C$9)</f>
        <v>1160354.3591682417</v>
      </c>
      <c r="D14" s="29">
        <f>D13*(1+Inputs!$C$8)</f>
        <v>1303.1157014219536</v>
      </c>
      <c r="E14" s="29">
        <f t="shared" si="0"/>
        <v>1512075984.6455448</v>
      </c>
      <c r="F14" s="29">
        <f>Inputs!$C$6*Inputs!$C$10</f>
        <v>36000000</v>
      </c>
      <c r="G14" s="29">
        <f t="shared" si="1"/>
        <v>1476075984.6455448</v>
      </c>
      <c r="H14" s="30">
        <f t="shared" si="2"/>
        <v>10095427596.836479</v>
      </c>
    </row>
    <row r="15" spans="2:8">
      <c r="B15" s="19">
        <v>12</v>
      </c>
      <c r="C15" s="14">
        <f>C14 *(1-Inputs!$C$9)</f>
        <v>1154552.5873724006</v>
      </c>
      <c r="D15" s="14">
        <f>D14*(1+Inputs!$C$8)</f>
        <v>1368.2714864930515</v>
      </c>
      <c r="E15" s="14">
        <f t="shared" si="0"/>
        <v>1579741384.9584332</v>
      </c>
      <c r="F15" s="14">
        <f>Inputs!$C$6*Inputs!$C$10</f>
        <v>36000000</v>
      </c>
      <c r="G15" s="14">
        <f t="shared" si="1"/>
        <v>1543741384.9584332</v>
      </c>
      <c r="H15" s="20">
        <f t="shared" si="2"/>
        <v>11639168981.794912</v>
      </c>
    </row>
    <row r="16" spans="2:8">
      <c r="B16" s="19">
        <v>13</v>
      </c>
      <c r="C16" s="14">
        <f>C15 *(1-Inputs!$C$9)</f>
        <v>1148779.8244355386</v>
      </c>
      <c r="D16" s="14">
        <f>D15*(1+Inputs!$C$8)</f>
        <v>1436.6850608177042</v>
      </c>
      <c r="E16" s="14">
        <f t="shared" si="0"/>
        <v>1650434811.9353232</v>
      </c>
      <c r="F16" s="14">
        <f>Inputs!$C$6*Inputs!$C$10</f>
        <v>36000000</v>
      </c>
      <c r="G16" s="14">
        <f t="shared" si="1"/>
        <v>1614434811.9353232</v>
      </c>
      <c r="H16" s="20">
        <f t="shared" si="2"/>
        <v>13253603793.730236</v>
      </c>
    </row>
    <row r="17" spans="2:8">
      <c r="B17" s="19">
        <v>14</v>
      </c>
      <c r="C17" s="14">
        <f>C16 *(1-Inputs!$C$9)</f>
        <v>1143035.925313361</v>
      </c>
      <c r="D17" s="14">
        <f>D16*(1+Inputs!$C$8)</f>
        <v>1508.5193138585894</v>
      </c>
      <c r="E17" s="14">
        <f t="shared" si="0"/>
        <v>1724291769.7694292</v>
      </c>
      <c r="F17" s="14">
        <f>Inputs!$C$6*Inputs!$C$10</f>
        <v>36000000</v>
      </c>
      <c r="G17" s="14">
        <f t="shared" si="1"/>
        <v>1688291769.7694292</v>
      </c>
      <c r="H17" s="20">
        <f t="shared" si="2"/>
        <v>14941895563.499664</v>
      </c>
    </row>
    <row r="18" spans="2:8" ht="15.75" thickBot="1">
      <c r="B18" s="23">
        <v>15</v>
      </c>
      <c r="C18" s="24">
        <f>C17 *(1-Inputs!$C$9)</f>
        <v>1137320.7456867942</v>
      </c>
      <c r="D18" s="24">
        <f>D17*(1+Inputs!$C$8)</f>
        <v>1583.945279551519</v>
      </c>
      <c r="E18" s="24">
        <f t="shared" si="0"/>
        <v>1801453826.4666111</v>
      </c>
      <c r="F18" s="24">
        <f>Inputs!$C$6*Inputs!$C$10</f>
        <v>36000000</v>
      </c>
      <c r="G18" s="24">
        <f t="shared" si="1"/>
        <v>1765453826.4666111</v>
      </c>
      <c r="H18" s="25">
        <f t="shared" si="2"/>
        <v>16707349389.966276</v>
      </c>
    </row>
    <row r="19" spans="2:8">
      <c r="B19" s="16">
        <v>16</v>
      </c>
      <c r="C19" s="29">
        <f>C18 *(1-Inputs!$C$9)</f>
        <v>1131634.1419583601</v>
      </c>
      <c r="D19" s="29">
        <f>D18*(1+Inputs!$C$8)</f>
        <v>1663.1425435290951</v>
      </c>
      <c r="E19" s="29">
        <f t="shared" si="0"/>
        <v>1882068885.2009921</v>
      </c>
      <c r="F19" s="29">
        <f>Inputs!$C$6*Inputs!$C$10</f>
        <v>36000000</v>
      </c>
      <c r="G19" s="29">
        <f t="shared" si="1"/>
        <v>1846068885.2009921</v>
      </c>
      <c r="H19" s="30">
        <f t="shared" si="2"/>
        <v>18553418275.167267</v>
      </c>
    </row>
    <row r="20" spans="2:8">
      <c r="B20" s="19">
        <v>17</v>
      </c>
      <c r="C20" s="14">
        <f>C19 *(1-Inputs!$C$9)</f>
        <v>1125975.9712485683</v>
      </c>
      <c r="D20" s="14">
        <f>D19*(1+Inputs!$C$8)</f>
        <v>1746.2996707055499</v>
      </c>
      <c r="E20" s="14">
        <f t="shared" si="0"/>
        <v>1966291467.8137364</v>
      </c>
      <c r="F20" s="14">
        <f>Inputs!$C$6*Inputs!$C$10</f>
        <v>36000000</v>
      </c>
      <c r="G20" s="14">
        <f t="shared" si="1"/>
        <v>1930291467.8137364</v>
      </c>
      <c r="H20" s="20">
        <f t="shared" si="2"/>
        <v>20483709742.981003</v>
      </c>
    </row>
    <row r="21" spans="2:8">
      <c r="B21" s="19">
        <v>18</v>
      </c>
      <c r="C21" s="14">
        <f>C20 *(1-Inputs!$C$9)</f>
        <v>1120346.0913923255</v>
      </c>
      <c r="D21" s="14">
        <f>D20*(1+Inputs!$C$8)</f>
        <v>1833.6146542408276</v>
      </c>
      <c r="E21" s="14">
        <f t="shared" si="0"/>
        <v>2054283010.9984014</v>
      </c>
      <c r="F21" s="14">
        <f>Inputs!$C$6*Inputs!$C$10</f>
        <v>36000000</v>
      </c>
      <c r="G21" s="14">
        <f t="shared" si="1"/>
        <v>2018283010.9984014</v>
      </c>
      <c r="H21" s="20">
        <f t="shared" si="2"/>
        <v>22501992753.979404</v>
      </c>
    </row>
    <row r="22" spans="2:8">
      <c r="B22" s="19">
        <v>19</v>
      </c>
      <c r="C22" s="14">
        <f>C21 *(1-Inputs!$C$9)</f>
        <v>1114744.3609353639</v>
      </c>
      <c r="D22" s="14">
        <f>D21*(1+Inputs!$C$8)</f>
        <v>1925.295386952869</v>
      </c>
      <c r="E22" s="14">
        <f t="shared" si="0"/>
        <v>2146212175.7405801</v>
      </c>
      <c r="F22" s="14">
        <f>Inputs!$C$6*Inputs!$C$10</f>
        <v>36000000</v>
      </c>
      <c r="G22" s="14">
        <f t="shared" si="1"/>
        <v>2110212175.7405801</v>
      </c>
      <c r="H22" s="20">
        <f t="shared" si="2"/>
        <v>24612204929.719986</v>
      </c>
    </row>
    <row r="23" spans="2:8" ht="15.75" thickBot="1">
      <c r="B23" s="23">
        <v>20</v>
      </c>
      <c r="C23" s="24">
        <f>C22 *(1-Inputs!$C$9)</f>
        <v>1109170.6391306871</v>
      </c>
      <c r="D23" s="24">
        <f>D22*(1+Inputs!$C$8)</f>
        <v>2021.5601563005125</v>
      </c>
      <c r="E23" s="24">
        <f t="shared" si="0"/>
        <v>2242255170.6049714</v>
      </c>
      <c r="F23" s="24">
        <f>Inputs!$C$6*Inputs!$C$10</f>
        <v>36000000</v>
      </c>
      <c r="G23" s="24">
        <f t="shared" si="1"/>
        <v>2206255170.6049714</v>
      </c>
      <c r="H23" s="25">
        <f t="shared" si="2"/>
        <v>26818460100.324959</v>
      </c>
    </row>
    <row r="24" spans="2:8">
      <c r="B24" s="26">
        <v>21</v>
      </c>
      <c r="C24" s="27">
        <f>C23 *(1-Inputs!$C$9)</f>
        <v>1103624.7859350336</v>
      </c>
      <c r="D24" s="27">
        <f>D23*(1+Inputs!$C$8)</f>
        <v>2122.6381641155381</v>
      </c>
      <c r="E24" s="27">
        <f t="shared" si="0"/>
        <v>2342596089.4895434</v>
      </c>
      <c r="F24" s="27">
        <f>Inputs!$C$6*Inputs!$C$10</f>
        <v>36000000</v>
      </c>
      <c r="G24" s="27">
        <f t="shared" si="1"/>
        <v>2306596089.4895434</v>
      </c>
      <c r="H24" s="28">
        <f t="shared" si="2"/>
        <v>29125056189.814503</v>
      </c>
    </row>
    <row r="25" spans="2:8">
      <c r="B25" s="19">
        <v>22</v>
      </c>
      <c r="C25" s="14">
        <f>C24 *(1-Inputs!$C$9)</f>
        <v>1098106.6620053584</v>
      </c>
      <c r="D25" s="14">
        <f>D24*(1+Inputs!$C$8)</f>
        <v>2228.7700723213152</v>
      </c>
      <c r="E25" s="14">
        <f t="shared" si="0"/>
        <v>2447427264.4942007</v>
      </c>
      <c r="F25" s="14">
        <f>Inputs!$C$6*Inputs!$C$10</f>
        <v>36000000</v>
      </c>
      <c r="G25" s="14">
        <f t="shared" si="1"/>
        <v>2411427264.4942007</v>
      </c>
      <c r="H25" s="20">
        <f t="shared" si="2"/>
        <v>31536483454.308704</v>
      </c>
    </row>
    <row r="26" spans="2:8">
      <c r="B26" s="19">
        <v>23</v>
      </c>
      <c r="C26" s="14">
        <f>C25 *(1-Inputs!$C$9)</f>
        <v>1092616.1286953315</v>
      </c>
      <c r="D26" s="14">
        <f>D25*(1+Inputs!$C$8)</f>
        <v>2340.2085759373808</v>
      </c>
      <c r="E26" s="14">
        <f t="shared" si="0"/>
        <v>2556949634.5803156</v>
      </c>
      <c r="F26" s="14">
        <f>Inputs!$C$6*Inputs!$C$10</f>
        <v>36000000</v>
      </c>
      <c r="G26" s="14">
        <f t="shared" si="1"/>
        <v>2520949634.5803156</v>
      </c>
      <c r="H26" s="20">
        <f t="shared" si="2"/>
        <v>34057433088.889019</v>
      </c>
    </row>
    <row r="27" spans="2:8">
      <c r="B27" s="19">
        <v>24</v>
      </c>
      <c r="C27" s="14">
        <f>C26 *(1-Inputs!$C$9)</f>
        <v>1087153.0480518548</v>
      </c>
      <c r="D27" s="14">
        <f>D26*(1+Inputs!$C$8)</f>
        <v>2457.2190047342501</v>
      </c>
      <c r="E27" s="14">
        <f t="shared" si="0"/>
        <v>2671373130.7277851</v>
      </c>
      <c r="F27" s="14">
        <f>Inputs!$C$6*Inputs!$C$10</f>
        <v>36000000</v>
      </c>
      <c r="G27" s="14">
        <f t="shared" si="1"/>
        <v>2635373130.7277851</v>
      </c>
      <c r="H27" s="20">
        <f t="shared" si="2"/>
        <v>36692806219.616806</v>
      </c>
    </row>
    <row r="28" spans="2:8" ht="15.75" thickBot="1">
      <c r="B28" s="23">
        <v>25</v>
      </c>
      <c r="C28" s="24">
        <f>C27 *(1-Inputs!$C$9)</f>
        <v>1081717.2828115956</v>
      </c>
      <c r="D28" s="24">
        <f>D27*(1+Inputs!$C$8)</f>
        <v>2580.0799549709627</v>
      </c>
      <c r="E28" s="24">
        <f t="shared" si="0"/>
        <v>2790917078.3278537</v>
      </c>
      <c r="F28" s="24">
        <f>Inputs!$C$6*Inputs!$C$10</f>
        <v>36000000</v>
      </c>
      <c r="G28" s="24">
        <f t="shared" si="1"/>
        <v>2754917078.3278537</v>
      </c>
      <c r="H28" s="25">
        <f t="shared" si="2"/>
        <v>39447723297.944656</v>
      </c>
    </row>
    <row r="29" spans="2:8">
      <c r="C29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BA834-7568-4F98-8608-55E960E22683}">
  <dimension ref="B2:E8"/>
  <sheetViews>
    <sheetView zoomScale="90" zoomScaleNormal="90" workbookViewId="0">
      <selection activeCell="C2" sqref="C2:E2"/>
    </sheetView>
  </sheetViews>
  <sheetFormatPr defaultRowHeight="15"/>
  <cols>
    <col min="2" max="2" width="5.85546875" bestFit="1" customWidth="1"/>
    <col min="3" max="3" width="20.5703125" bestFit="1" customWidth="1"/>
    <col min="4" max="4" width="22.42578125" bestFit="1" customWidth="1"/>
    <col min="5" max="5" width="7" bestFit="1" customWidth="1"/>
  </cols>
  <sheetData>
    <row r="2" spans="2:5">
      <c r="C2" s="31" t="s">
        <v>43</v>
      </c>
      <c r="D2" s="31"/>
      <c r="E2" s="31"/>
    </row>
    <row r="3" spans="2:5">
      <c r="B3" s="7" t="s">
        <v>47</v>
      </c>
      <c r="C3" s="7" t="s">
        <v>44</v>
      </c>
      <c r="D3" s="7" t="s">
        <v>45</v>
      </c>
      <c r="E3" s="7" t="s">
        <v>46</v>
      </c>
    </row>
    <row r="4" spans="2:5">
      <c r="B4" s="9">
        <v>25</v>
      </c>
      <c r="C4" s="8">
        <f>SUM('Cash Flow'!G:G)</f>
        <v>39447723297.944656</v>
      </c>
      <c r="D4" s="32">
        <f>COUNTIF('Cash Flow'!H:H, "&lt;0")</f>
        <v>4</v>
      </c>
      <c r="E4" s="10">
        <f>('Cash Flow'!H28)/Inputs!$C$6</f>
        <v>13.149241099314885</v>
      </c>
    </row>
    <row r="5" spans="2:5">
      <c r="B5" s="9">
        <v>20</v>
      </c>
      <c r="C5" s="35">
        <f>SUM('Cash Flow'!G3:G23)</f>
        <v>26818460100.324959</v>
      </c>
      <c r="D5" s="33"/>
      <c r="E5" s="10">
        <f>('Cash Flow'!H23)/Inputs!$C$6</f>
        <v>8.9394867001083202</v>
      </c>
    </row>
    <row r="6" spans="2:5">
      <c r="B6" s="9">
        <v>15</v>
      </c>
      <c r="C6" s="35">
        <f>SUM('Cash Flow'!G3:G18)</f>
        <v>16707349389.966276</v>
      </c>
      <c r="D6" s="33"/>
      <c r="E6" s="10">
        <f>('Cash Flow'!H18)/Inputs!$C$6</f>
        <v>5.569116463322092</v>
      </c>
    </row>
    <row r="7" spans="2:5">
      <c r="B7" s="9">
        <v>10</v>
      </c>
      <c r="C7" s="35">
        <f>SUM('Cash Flow'!G3:G13)</f>
        <v>8619351612.1909351</v>
      </c>
      <c r="D7" s="33"/>
      <c r="E7" s="10">
        <f>('Cash Flow'!H13)/Inputs!$C$6</f>
        <v>2.8731172040636452</v>
      </c>
    </row>
    <row r="8" spans="2:5">
      <c r="B8" s="9">
        <v>5</v>
      </c>
      <c r="C8" s="35">
        <f>SUM('Cash Flow'!G3:G8)</f>
        <v>2156746243.609159</v>
      </c>
      <c r="D8" s="34"/>
      <c r="E8" s="10">
        <f>('Cash Flow'!H8)/Inputs!$C$6</f>
        <v>0.7189154145363863</v>
      </c>
    </row>
  </sheetData>
  <mergeCells count="2">
    <mergeCell ref="C2:E2"/>
    <mergeCell ref="D4:D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Inputs</vt:lpstr>
      <vt:lpstr>Cash Flow</vt:lpstr>
      <vt:lpstr>Dashborad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Alba</dc:creator>
  <cp:lastModifiedBy>Mateo Nicolas Alba Botero</cp:lastModifiedBy>
  <dcterms:created xsi:type="dcterms:W3CDTF">2015-06-05T18:17:20Z</dcterms:created>
  <dcterms:modified xsi:type="dcterms:W3CDTF">2026-01-07T17:56:30Z</dcterms:modified>
</cp:coreProperties>
</file>